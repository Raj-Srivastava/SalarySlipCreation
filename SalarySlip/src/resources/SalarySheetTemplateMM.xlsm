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filterPrivacy="1" codeName="ThisWorkbook"/>
  <xr:revisionPtr revIDLastSave="0" documentId="8_{741F282A-D016-9B40-85C4-7BF2AF9351C1}" xr6:coauthVersionLast="47" xr6:coauthVersionMax="47" xr10:uidLastSave="{00000000-0000-0000-0000-000000000000}"/>
  <bookViews>
    <workbookView xWindow="0" yWindow="500" windowWidth="25600" windowHeight="14060" tabRatio="779" xr2:uid="{00000000-000D-0000-FFFF-FFFF00000000}"/>
  </bookViews>
  <sheets>
    <sheet name="MailMergeData" sheetId="48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48" l="1"/>
  <c r="S3" i="48"/>
  <c r="Q3" i="48"/>
  <c r="T3" i="48" s="1"/>
  <c r="Q4" i="48"/>
  <c r="T4" i="48" s="1"/>
  <c r="Q5" i="48"/>
  <c r="T5" i="48" s="1"/>
  <c r="Q2" i="48"/>
  <c r="T2" i="48" s="1"/>
  <c r="Q6" i="48"/>
  <c r="S4" i="48"/>
  <c r="S5" i="48" l="1"/>
  <c r="S6" i="48"/>
  <c r="T6" i="48"/>
  <c r="U6" i="48" a="1"/>
  <c r="U4" i="48" a="1"/>
  <c r="U5" i="48" a="1"/>
  <c r="U3" i="48" a="1"/>
  <c r="U4" i="48" l="1"/>
  <c r="U6" i="48"/>
  <c r="U5" i="48"/>
  <c r="U3" i="48"/>
  <c r="U2" i="48" a="1"/>
  <c r="U2" i="4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<sst xmlns="http://schemas.openxmlformats.org/spreadsheetml/2006/main" count="50" uniqueCount="41">
  <si>
    <t>Basic</t>
  </si>
  <si>
    <t>LTA</t>
  </si>
  <si>
    <t>HRA</t>
  </si>
  <si>
    <t>Prashant Guleria</t>
  </si>
  <si>
    <t>Deepak Kumar</t>
  </si>
  <si>
    <t>Shavet Garg</t>
  </si>
  <si>
    <t>Saddam Khan</t>
  </si>
  <si>
    <t>Upendra Shukla</t>
  </si>
  <si>
    <t>TDS</t>
  </si>
  <si>
    <t>Month</t>
  </si>
  <si>
    <t>Name</t>
  </si>
  <si>
    <t>Designation</t>
  </si>
  <si>
    <t>Dept</t>
  </si>
  <si>
    <t>Emp Code</t>
  </si>
  <si>
    <t>Days</t>
  </si>
  <si>
    <t>Leaves</t>
  </si>
  <si>
    <t>PAN</t>
  </si>
  <si>
    <t>Bank Acc</t>
  </si>
  <si>
    <t>Sp Allowance</t>
  </si>
  <si>
    <t>Conv</t>
  </si>
  <si>
    <t>PF</t>
  </si>
  <si>
    <t>Total Earnings</t>
  </si>
  <si>
    <t>Total Deductions</t>
  </si>
  <si>
    <t>Net Pay</t>
  </si>
  <si>
    <t>Pay in Words</t>
  </si>
  <si>
    <t>Technology Architect</t>
  </si>
  <si>
    <t>Technology</t>
  </si>
  <si>
    <t>001</t>
  </si>
  <si>
    <t>002</t>
  </si>
  <si>
    <t>005</t>
  </si>
  <si>
    <t>006</t>
  </si>
  <si>
    <t>007</t>
  </si>
  <si>
    <t>Database Architect</t>
  </si>
  <si>
    <t>July 2024</t>
  </si>
  <si>
    <t>Data Sciences Architect</t>
  </si>
  <si>
    <t>Integration Architect</t>
  </si>
  <si>
    <t>Solutions Architect</t>
  </si>
  <si>
    <t>abcdg1234a</t>
  </si>
  <si>
    <t>abcdk1234a</t>
  </si>
  <si>
    <t>abcdg1235a</t>
  </si>
  <si>
    <t>abcds1234a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</si>
</sst>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[$₹-4009]\ * #,##0.00_ ;_ [$₹-4009]\ * \-#,##0.00_ ;_ [$₹-4009]\ * &quot;-&quot;??_ ;_ @_ 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1" fontId="0" fillId="0" borderId="0" xfId="0" quotePrefix="1" applyNumberFormat="1"/>
    <xf numFmtId="0" fontId="2" fillId="0" borderId="0" xfId="0" applyFont="1" applyAlignment="1">
      <alignment horizontal="left" vertical="center" wrapText="1"/>
    </xf>
    <xf numFmtId="0" fontId="0" fillId="0" borderId="1" xfId="0" applyBorder="1" applyAlignment="1">
      <alignment horizontal="left" vertical="top"/>
    </xf>
    <xf numFmtId="0" fontId="3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58A85-2F72-491E-959E-075109F3A072}">
  <sheetPr codeName="Sheet39">
    <tabColor theme="5" tint="0.39997558519241921"/>
  </sheetPr>
  <dimension ref="B1:U6"/>
  <sheetViews>
    <sheetView tabSelected="1" zoomScale="120" zoomScaleNormal="120" workbookViewId="0">
      <selection activeCell="J10" sqref="J10"/>
    </sheetView>
  </sheetViews>
  <sheetFormatPr baseColWidth="10" defaultColWidth="8.83203125" defaultRowHeight="15" x14ac:dyDescent="0.2"/>
  <cols>
    <col min="1" max="1" width="3" bestFit="1" customWidth="1"/>
    <col min="2" max="2" width="19.33203125" customWidth="1"/>
    <col min="3" max="3" width="34.5" customWidth="1"/>
    <col min="4" max="4" width="16.1640625" customWidth="1"/>
    <col min="5" max="5" width="14.5" customWidth="1"/>
    <col min="6" max="6" width="8.6640625" customWidth="1"/>
    <col min="7" max="7" width="4.6640625" customWidth="1"/>
    <col min="8" max="8" width="6.1640625" customWidth="1"/>
    <col min="9" max="9" width="12.6640625" customWidth="1"/>
    <col min="10" max="10" width="18.5" customWidth="1"/>
    <col min="11" max="11" width="15.1640625" customWidth="1"/>
    <col min="12" max="12" width="17" bestFit="1" customWidth="1"/>
    <col min="13" max="13" width="15" bestFit="1" customWidth="1"/>
    <col min="14" max="14" width="14.83203125" customWidth="1"/>
    <col min="15" max="15" width="17" bestFit="1" customWidth="1"/>
    <col min="16" max="16" width="12.6640625" customWidth="1"/>
    <col min="17" max="17" width="15.5" customWidth="1"/>
    <col min="18" max="18" width="14.5" customWidth="1"/>
    <col min="19" max="19" width="14.33203125" customWidth="1"/>
    <col min="20" max="20" width="13.83203125" customWidth="1"/>
    <col min="21" max="21" width="67.5" customWidth="1"/>
  </cols>
  <sheetData>
    <row r="1" spans="2:21" x14ac:dyDescent="0.2">
      <c r="B1" s="6" t="s">
        <v>10</v>
      </c>
      <c r="C1" s="6" t="s">
        <v>11</v>
      </c>
      <c r="D1" s="6" t="s">
        <v>9</v>
      </c>
      <c r="E1" s="6" t="s">
        <v>12</v>
      </c>
      <c r="F1" s="6" t="s">
        <v>13</v>
      </c>
      <c r="G1" s="6" t="s">
        <v>14</v>
      </c>
      <c r="H1" s="6" t="s">
        <v>15</v>
      </c>
      <c r="I1" s="6" t="s">
        <v>16</v>
      </c>
      <c r="J1" s="6" t="s">
        <v>17</v>
      </c>
      <c r="K1" s="6" t="s">
        <v>0</v>
      </c>
      <c r="L1" s="6" t="s">
        <v>2</v>
      </c>
      <c r="M1" s="6" t="s">
        <v>18</v>
      </c>
      <c r="N1" s="6" t="s">
        <v>1</v>
      </c>
      <c r="O1" s="6" t="s">
        <v>19</v>
      </c>
      <c r="P1" s="6" t="s">
        <v>20</v>
      </c>
      <c r="Q1" s="6" t="s">
        <v>21</v>
      </c>
      <c r="R1" s="6" t="s">
        <v>8</v>
      </c>
      <c r="S1" s="6" t="s">
        <v>22</v>
      </c>
      <c r="T1" s="6" t="s">
        <v>23</v>
      </c>
      <c r="U1" s="6" t="s">
        <v>24</v>
      </c>
    </row>
    <row r="2" spans="2:21" ht="16" x14ac:dyDescent="0.2">
      <c r="B2" s="4" t="s">
        <v>3</v>
      </c>
      <c r="C2" t="s">
        <v>25</v>
      </c>
      <c r="D2" s="1" t="s">
        <v>33</v>
      </c>
      <c r="E2" t="s">
        <v>26</v>
      </c>
      <c r="F2" s="1" t="s">
        <v>27</v>
      </c>
      <c r="G2">
        <v>31</v>
      </c>
      <c r="H2">
        <v>0</v>
      </c>
      <c r="I2" s="5" t="s">
        <v>37</v>
      </c>
      <c r="J2" s="3">
        <v>123456781</v>
      </c>
      <c r="K2" s="2">
        <v>10000</v>
      </c>
      <c r="L2" s="2">
        <v>4000</v>
      </c>
      <c r="M2" s="2">
        <v>3000</v>
      </c>
      <c r="N2" s="2">
        <v>2000</v>
      </c>
      <c r="O2" s="2">
        <v>1000</v>
      </c>
      <c r="P2" s="2">
        <v>1200</v>
      </c>
      <c r="Q2" s="2">
        <f>SUM(K2:P2)</f>
        <v>21200</v>
      </c>
      <c r="R2" s="2">
        <v>200</v>
      </c>
      <c r="S2" s="2">
        <f>R2</f>
        <v>200</v>
      </c>
      <c r="T2" s="2">
        <f t="shared" ref="T2:T6" si="0">Q2-R2</f>
        <v>21000</v>
      </c>
      <c r="U2" t="str" cm="1">
        <f t="array" ref="U2">SpellIndian(T2)</f>
        <v>Rupees Twenty One Thousand  Only</v>
      </c>
    </row>
    <row r="3" spans="2:21" ht="16" x14ac:dyDescent="0.2">
      <c r="B3" s="4" t="s">
        <v>4</v>
      </c>
      <c r="C3" t="s">
        <v>34</v>
      </c>
      <c r="D3" s="1" t="s">
        <v>33</v>
      </c>
      <c r="E3" t="s">
        <v>26</v>
      </c>
      <c r="F3" s="1" t="s">
        <v>28</v>
      </c>
      <c r="G3">
        <v>31</v>
      </c>
      <c r="H3">
        <v>0</v>
      </c>
      <c r="I3" s="5" t="s">
        <v>38</v>
      </c>
      <c r="J3" s="3">
        <v>123456782</v>
      </c>
      <c r="K3" s="2">
        <v>10000</v>
      </c>
      <c r="L3" s="2">
        <v>4000</v>
      </c>
      <c r="M3" s="2">
        <v>3000</v>
      </c>
      <c r="N3" s="2">
        <v>2000</v>
      </c>
      <c r="O3" s="2">
        <v>1000</v>
      </c>
      <c r="P3" s="2">
        <v>1200</v>
      </c>
      <c r="Q3" s="2">
        <f t="shared" ref="Q3:Q5" si="1">SUM(K3:P3)</f>
        <v>21200</v>
      </c>
      <c r="R3" s="2">
        <v>200</v>
      </c>
      <c r="S3" s="2">
        <f>R3</f>
        <v>200</v>
      </c>
      <c r="T3" s="2">
        <f t="shared" si="0"/>
        <v>21000</v>
      </c>
      <c r="U3" t="str" cm="1">
        <f t="array" ref="U3">SpellIndian(T3)</f>
        <v>Rupees Twenty One Thousand  Only</v>
      </c>
    </row>
    <row r="4" spans="2:21" ht="16" x14ac:dyDescent="0.2">
      <c r="B4" s="4" t="s">
        <v>5</v>
      </c>
      <c r="C4" t="s">
        <v>35</v>
      </c>
      <c r="D4" s="1" t="s">
        <v>33</v>
      </c>
      <c r="E4" t="s">
        <v>26</v>
      </c>
      <c r="F4" s="1" t="s">
        <v>29</v>
      </c>
      <c r="G4">
        <v>31</v>
      </c>
      <c r="H4">
        <v>0</v>
      </c>
      <c r="I4" s="5" t="s">
        <v>39</v>
      </c>
      <c r="J4" s="3">
        <v>123456783</v>
      </c>
      <c r="K4" s="2">
        <v>10000</v>
      </c>
      <c r="L4" s="2">
        <v>4000</v>
      </c>
      <c r="M4" s="2">
        <v>3000</v>
      </c>
      <c r="N4" s="2">
        <v>2000</v>
      </c>
      <c r="O4" s="2">
        <v>1000</v>
      </c>
      <c r="P4" s="2">
        <v>1200</v>
      </c>
      <c r="Q4" s="2">
        <f t="shared" si="1"/>
        <v>21200</v>
      </c>
      <c r="R4" s="2">
        <v>200</v>
      </c>
      <c r="S4" s="2">
        <f t="shared" ref="S4:S6" si="2">R4</f>
        <v>200</v>
      </c>
      <c r="T4" s="2">
        <f t="shared" si="0"/>
        <v>21000</v>
      </c>
      <c r="U4" t="str" cm="1">
        <f t="array" ref="U4">SpellIndian(T4)</f>
        <v>Rupees Twenty One Thousand  Only</v>
      </c>
    </row>
    <row r="5" spans="2:21" ht="16" x14ac:dyDescent="0.2">
      <c r="B5" s="4" t="s">
        <v>6</v>
      </c>
      <c r="C5" t="s">
        <v>32</v>
      </c>
      <c r="D5" s="1" t="s">
        <v>33</v>
      </c>
      <c r="E5" t="s">
        <v>26</v>
      </c>
      <c r="F5" s="1" t="s">
        <v>30</v>
      </c>
      <c r="G5">
        <v>31</v>
      </c>
      <c r="H5">
        <v>0</v>
      </c>
      <c r="I5" s="5" t="s">
        <v>38</v>
      </c>
      <c r="J5" s="3">
        <v>123456784</v>
      </c>
      <c r="K5" s="2">
        <v>10000</v>
      </c>
      <c r="L5" s="2">
        <v>4000</v>
      </c>
      <c r="M5" s="2">
        <v>3000</v>
      </c>
      <c r="N5" s="2">
        <v>2000</v>
      </c>
      <c r="O5" s="2">
        <v>1000</v>
      </c>
      <c r="P5" s="2">
        <v>1200</v>
      </c>
      <c r="Q5" s="2">
        <f t="shared" si="1"/>
        <v>21200</v>
      </c>
      <c r="R5" s="2">
        <v>200</v>
      </c>
      <c r="S5" s="2">
        <f t="shared" si="2"/>
        <v>200</v>
      </c>
      <c r="T5" s="2">
        <f t="shared" si="0"/>
        <v>21000</v>
      </c>
      <c r="U5" t="str" cm="1">
        <f t="array" ref="U5">SpellIndian(T5)</f>
        <v>Rupees Twenty One Thousand  Only</v>
      </c>
    </row>
    <row r="6" spans="2:21" ht="16" x14ac:dyDescent="0.2">
      <c r="B6" s="4" t="s">
        <v>7</v>
      </c>
      <c r="C6" t="s">
        <v>36</v>
      </c>
      <c r="D6" s="1" t="s">
        <v>33</v>
      </c>
      <c r="E6" t="s">
        <v>26</v>
      </c>
      <c r="F6" s="1" t="s">
        <v>31</v>
      </c>
      <c r="G6">
        <v>31</v>
      </c>
      <c r="H6">
        <v>0</v>
      </c>
      <c r="I6" s="5" t="s">
        <v>40</v>
      </c>
      <c r="J6" s="3">
        <v>123456785</v>
      </c>
      <c r="K6" s="2">
        <v>10000</v>
      </c>
      <c r="L6" s="2">
        <v>4000</v>
      </c>
      <c r="M6" s="2">
        <v>3000</v>
      </c>
      <c r="N6" s="2">
        <v>2000</v>
      </c>
      <c r="O6" s="2">
        <v>1000</v>
      </c>
      <c r="P6" s="2">
        <v>1200</v>
      </c>
      <c r="Q6" s="2">
        <f t="shared" ref="Q6" si="3">SUM(K6:P6)</f>
        <v>21200</v>
      </c>
      <c r="R6" s="2">
        <v>200</v>
      </c>
      <c r="S6" s="2">
        <f t="shared" si="2"/>
        <v>200</v>
      </c>
      <c r="T6" s="2">
        <f t="shared" si="0"/>
        <v>21000</v>
      </c>
      <c r="U6" t="str" cm="1">
        <f t="array" ref="U6">SpellIndian(T6)</f>
        <v>Rupees Twenty One Thousand  Only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8DE82773DF2B4A9061116C1D88E35D" ma:contentTypeVersion="14" ma:contentTypeDescription="Create a new document." ma:contentTypeScope="" ma:versionID="9ff29609b13879bdacd828e68844c569">
  <xsd:schema xmlns:xsd="http://www.w3.org/2001/XMLSchema" xmlns:xs="http://www.w3.org/2001/XMLSchema" xmlns:p="http://schemas.microsoft.com/office/2006/metadata/properties" xmlns:ns3="505f2f85-15a7-4f24-9459-b2c50b236832" xmlns:ns4="b60cc036-159e-44a7-b6d0-424a3d88850c" targetNamespace="http://schemas.microsoft.com/office/2006/metadata/properties" ma:root="true" ma:fieldsID="5d1259d6ae6d6a9f7463dfd4f673d2d9" ns3:_="" ns4:_="">
    <xsd:import namespace="505f2f85-15a7-4f24-9459-b2c50b236832"/>
    <xsd:import namespace="b60cc036-159e-44a7-b6d0-424a3d88850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  <xsd:element ref="ns4:MediaServiceLocation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5f2f85-15a7-4f24-9459-b2c50b23683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0cc036-159e-44a7-b6d0-424a3d8885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8A09ED4-C353-4532-BA36-B0B2E705638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689C50E-8B22-45F1-900D-90FE138031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5f2f85-15a7-4f24-9459-b2c50b236832"/>
    <ds:schemaRef ds:uri="b60cc036-159e-44a7-b6d0-424a3d8885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EDE0EE0-1A7F-43B2-BBD2-A9D4F2CC1351}">
  <ds:schemaRefs>
    <ds:schemaRef ds:uri="http://purl.org/dc/elements/1.1/"/>
    <ds:schemaRef ds:uri="http://www.w3.org/XML/1998/namespace"/>
    <ds:schemaRef ds:uri="http://purl.org/dc/dcmitype/"/>
    <ds:schemaRef ds:uri="http://schemas.microsoft.com/office/2006/documentManagement/types"/>
    <ds:schemaRef ds:uri="http://purl.org/dc/terms/"/>
    <ds:schemaRef ds:uri="http://schemas.microsoft.com/office/2006/metadata/properties"/>
    <ds:schemaRef ds:uri="505f2f85-15a7-4f24-9459-b2c50b236832"/>
    <ds:schemaRef ds:uri="http://schemas.microsoft.com/office/infopath/2007/PartnerControls"/>
    <ds:schemaRef ds:uri="http://schemas.openxmlformats.org/package/2006/metadata/core-properties"/>
    <ds:schemaRef ds:uri="b60cc036-159e-44a7-b6d0-424a3d88850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MailMergeData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2015-06-05T18:17:20Z</dcterms:created>
  <dcterms:modified xsi:type="dcterms:W3CDTF">2024-08-29T05:46:54Z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0x010100B08DE82773DF2B4A9061116C1D88E35D</vt:lpwstr>
  </property>
</Properties>
</file>